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urnal" sheetId="1" state="visible" r:id="rId3"/>
    <sheet name="Trial Balance" sheetId="2" state="visible" r:id="rId4"/>
    <sheet name="Adjustments" sheetId="3" state="visible" r:id="rId5"/>
    <sheet name="Trading Account" sheetId="4" state="visible" r:id="rId6"/>
    <sheet name="Profit &amp; Loss Account" sheetId="5" state="visible" r:id="rId7"/>
    <sheet name="Balance Sheet" sheetId="6" state="visible" r:id="rId8"/>
    <sheet name="Notes - Formulas Use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<sst xmlns="http://schemas.openxmlformats.org/spreadsheetml/2006/main" count="257" uniqueCount="165">
  <si>
    <t xml:space="preserve">Himalayan Traders Pvt. Ltd.</t>
  </si>
  <si>
    <t xml:space="preserve">Journal  —  Financial Year 2024-25</t>
  </si>
  <si>
    <t xml:space="preserve">Currency: NPR    |    Blue = user input    |    Black = formula    |    Green = cross-sheet link</t>
  </si>
  <si>
    <t xml:space="preserve">S.No</t>
  </si>
  <si>
    <t xml:space="preserve">Date</t>
  </si>
  <si>
    <t xml:space="preserve">Narration</t>
  </si>
  <si>
    <t xml:space="preserve">Account</t>
  </si>
  <si>
    <t xml:space="preserve">Debit</t>
  </si>
  <si>
    <t xml:space="preserve">Credit</t>
  </si>
  <si>
    <t xml:space="preserve">2024-04-01</t>
  </si>
  <si>
    <t xml:space="preserve">Started business with cash as capital</t>
  </si>
  <si>
    <t xml:space="preserve">Cash in Hand</t>
  </si>
  <si>
    <t xml:space="preserve">Capital Account</t>
  </si>
  <si>
    <t xml:space="preserve">2024-04-05</t>
  </si>
  <si>
    <t xml:space="preserve">Opened bank account and deposited cash</t>
  </si>
  <si>
    <t xml:space="preserve">Bank A/c</t>
  </si>
  <si>
    <t xml:space="preserve">2024-04-10</t>
  </si>
  <si>
    <t xml:space="preserve">Cash purchase of goods</t>
  </si>
  <si>
    <t xml:space="preserve">Purchases</t>
  </si>
  <si>
    <t xml:space="preserve">2024-04-15</t>
  </si>
  <si>
    <t xml:space="preserve">Credit purchase of goods from Supplier A</t>
  </si>
  <si>
    <t xml:space="preserve">Creditors - Supplier A</t>
  </si>
  <si>
    <t xml:space="preserve">2024-04-20</t>
  </si>
  <si>
    <t xml:space="preserve">Credit sale of goods to Customer X</t>
  </si>
  <si>
    <t xml:space="preserve">Debtors - Customer X</t>
  </si>
  <si>
    <t xml:space="preserve">Sales</t>
  </si>
  <si>
    <t xml:space="preserve">2024-05-03</t>
  </si>
  <si>
    <t xml:space="preserve">Cash sale of goods</t>
  </si>
  <si>
    <t xml:space="preserve">2024-05-10</t>
  </si>
  <si>
    <t xml:space="preserve">Paid shop rent</t>
  </si>
  <si>
    <t xml:space="preserve">Rent Paid</t>
  </si>
  <si>
    <t xml:space="preserve">2024-05-15</t>
  </si>
  <si>
    <t xml:space="preserve">Paid salary to staff</t>
  </si>
  <si>
    <t xml:space="preserve">Salary</t>
  </si>
  <si>
    <t xml:space="preserve">2024-06-01</t>
  </si>
  <si>
    <t xml:space="preserve">Purchased furniture by cheque</t>
  </si>
  <si>
    <t xml:space="preserve">Furniture &amp; Fixtures</t>
  </si>
  <si>
    <t xml:space="preserve">2024-06-15</t>
  </si>
  <si>
    <t xml:space="preserve">Credit sale to Customer Y</t>
  </si>
  <si>
    <t xml:space="preserve">Debtors - Customer Y</t>
  </si>
  <si>
    <t xml:space="preserve">2024-07-05</t>
  </si>
  <si>
    <t xml:space="preserve">Received from Customer X, allowed discount</t>
  </si>
  <si>
    <t xml:space="preserve">Discount Allowed</t>
  </si>
  <si>
    <t xml:space="preserve">2024-07-20</t>
  </si>
  <si>
    <t xml:space="preserve">Paid to Supplier A, received discount</t>
  </si>
  <si>
    <t xml:space="preserve">Discount Received</t>
  </si>
  <si>
    <t xml:space="preserve">2024-08-10</t>
  </si>
  <si>
    <t xml:space="preserve">Paid insurance premium by cheque</t>
  </si>
  <si>
    <t xml:space="preserve">Insurance</t>
  </si>
  <si>
    <t xml:space="preserve">2024-09-01</t>
  </si>
  <si>
    <t xml:space="preserve">2024-10-15</t>
  </si>
  <si>
    <t xml:space="preserve">Credit sale to Customer Z</t>
  </si>
  <si>
    <t xml:space="preserve">Debtors - Customer Z</t>
  </si>
  <si>
    <t xml:space="preserve">2024-11-01</t>
  </si>
  <si>
    <t xml:space="preserve">Paid advertisement expenses by cheque</t>
  </si>
  <si>
    <t xml:space="preserve">Advertisement</t>
  </si>
  <si>
    <t xml:space="preserve">2024-12-15</t>
  </si>
  <si>
    <t xml:space="preserve">Owner withdrew cash for personal use</t>
  </si>
  <si>
    <t xml:space="preserve">Drawings</t>
  </si>
  <si>
    <t xml:space="preserve">2025-01-10</t>
  </si>
  <si>
    <t xml:space="preserve">Paid electricity bill</t>
  </si>
  <si>
    <t xml:space="preserve">Electricity</t>
  </si>
  <si>
    <t xml:space="preserve">2025-02-05</t>
  </si>
  <si>
    <t xml:space="preserve">Credit purchase from Supplier B</t>
  </si>
  <si>
    <t xml:space="preserve">Creditors - Supplier B</t>
  </si>
  <si>
    <t xml:space="preserve">2025-03-20</t>
  </si>
  <si>
    <t xml:space="preserve">TOTAL</t>
  </si>
  <si>
    <t xml:space="preserve">Dr total − Cr total (should be 0)</t>
  </si>
  <si>
    <t xml:space="preserve">Trial Balance</t>
  </si>
  <si>
    <t xml:space="preserve">as at the close of the financial year (pre-adjustment ledger balances)</t>
  </si>
  <si>
    <t xml:space="preserve">Classification</t>
  </si>
  <si>
    <t xml:space="preserve">Debit (Rs)</t>
  </si>
  <si>
    <t xml:space="preserve">Credit (Rs)</t>
  </si>
  <si>
    <t xml:space="preserve">BS — Asset</t>
  </si>
  <si>
    <t xml:space="preserve">BS — Capital</t>
  </si>
  <si>
    <t xml:space="preserve">Trading (Dr)</t>
  </si>
  <si>
    <t xml:space="preserve">BS — Liability</t>
  </si>
  <si>
    <t xml:space="preserve">Trading (Cr)</t>
  </si>
  <si>
    <t xml:space="preserve">P&amp;L (Dr)</t>
  </si>
  <si>
    <t xml:space="preserve">P&amp;L (Cr)</t>
  </si>
  <si>
    <t xml:space="preserve">BS — Drawings</t>
  </si>
  <si>
    <t xml:space="preserve">Adjustments</t>
  </si>
  <si>
    <t xml:space="preserve">Period-end items not yet in the Journal. Blue = assumption; Green = formula linked to Trial Balance.</t>
  </si>
  <si>
    <t xml:space="preserve">#</t>
  </si>
  <si>
    <t xml:space="preserve">Adjustment</t>
  </si>
  <si>
    <t xml:space="preserve">Account / Base</t>
  </si>
  <si>
    <t xml:space="preserve">Amount</t>
  </si>
  <si>
    <t xml:space="preserve">Closing stock valued at cost at year end</t>
  </si>
  <si>
    <t xml:space="preserve">Closing Stock</t>
  </si>
  <si>
    <t xml:space="preserve">Depreciation on Furniture &amp; Fixtures @ 10% p.a.</t>
  </si>
  <si>
    <t xml:space="preserve">Depreciation on furniture @ 10% p.a.</t>
  </si>
  <si>
    <t xml:space="preserve">Salary outstanding at year end</t>
  </si>
  <si>
    <t xml:space="preserve">Insurance prepaid at year end</t>
  </si>
  <si>
    <t xml:space="preserve">Trading Account</t>
  </si>
  <si>
    <t xml:space="preserve">for the year ended  31 March 2025</t>
  </si>
  <si>
    <t xml:space="preserve">Particulars</t>
  </si>
  <si>
    <t xml:space="preserve">Amount (Dr)</t>
  </si>
  <si>
    <t xml:space="preserve">Amount (Cr)</t>
  </si>
  <si>
    <t xml:space="preserve">To Purchases</t>
  </si>
  <si>
    <t xml:space="preserve">By Sales</t>
  </si>
  <si>
    <t xml:space="preserve">By Closing Stock (Adjusted)</t>
  </si>
  <si>
    <t xml:space="preserve">To Gross Profit c/d</t>
  </si>
  <si>
    <t xml:space="preserve">By Gross Loss c/d</t>
  </si>
  <si>
    <t xml:space="preserve">Profit &amp; Loss Account</t>
  </si>
  <si>
    <t xml:space="preserve">By Gross Profit b/d</t>
  </si>
  <si>
    <t xml:space="preserve">To Rent Paid</t>
  </si>
  <si>
    <t xml:space="preserve">By Discount Received</t>
  </si>
  <si>
    <t xml:space="preserve">To Salary</t>
  </si>
  <si>
    <t xml:space="preserve">By Prepaid Insurance</t>
  </si>
  <si>
    <t xml:space="preserve">To Discount Allowed</t>
  </si>
  <si>
    <t xml:space="preserve">To Insurance</t>
  </si>
  <si>
    <t xml:space="preserve">To Advertisement</t>
  </si>
  <si>
    <t xml:space="preserve">To Electricity</t>
  </si>
  <si>
    <t xml:space="preserve">To Depreciation on Furniture &amp; Fixtures</t>
  </si>
  <si>
    <t xml:space="preserve">To Outstanding Salary</t>
  </si>
  <si>
    <t xml:space="preserve">To Net Profit (transferred to Capital)</t>
  </si>
  <si>
    <t xml:space="preserve">By Net Loss (transferred to Capital)</t>
  </si>
  <si>
    <t xml:space="preserve">Balance Sheet</t>
  </si>
  <si>
    <t xml:space="preserve">as at  31 March 2025</t>
  </si>
  <si>
    <t xml:space="preserve">Capital &amp; Liabilities</t>
  </si>
  <si>
    <t xml:space="preserve">Assets</t>
  </si>
  <si>
    <t xml:space="preserve">Capital Account (opening)</t>
  </si>
  <si>
    <t xml:space="preserve">   Add: Net Profit (from P&amp;L A/c)</t>
  </si>
  <si>
    <t xml:space="preserve">   Less: Depreciation</t>
  </si>
  <si>
    <t xml:space="preserve">   Less: Net Loss (from P&amp;L A/c)</t>
  </si>
  <si>
    <t xml:space="preserve">Furniture &amp; Fixtures (after depreciation)</t>
  </si>
  <si>
    <t xml:space="preserve">   Less: Drawings</t>
  </si>
  <si>
    <t xml:space="preserve">Closing Stock (Adjusted)</t>
  </si>
  <si>
    <t xml:space="preserve">Capital (closing balance)</t>
  </si>
  <si>
    <t xml:space="preserve">Outstanding Salary</t>
  </si>
  <si>
    <t xml:space="preserve">Prepaid Insurance</t>
  </si>
  <si>
    <t xml:space="preserve">Balance check (Liabilities − Assets, should be 0)</t>
  </si>
  <si>
    <t xml:space="preserve">Notes — Formulas Used &amp; Assumptions</t>
  </si>
  <si>
    <t xml:space="preserve">Every figure in this workbook is a live Excel formula. Blue = user input / assumption. Green = cross-sheet reference. Black = in-sheet formula.</t>
  </si>
  <si>
    <t xml:space="preserve">Equation / Rule</t>
  </si>
  <si>
    <t xml:space="preserve">Where used</t>
  </si>
  <si>
    <t xml:space="preserve">Double-entry rule: every journal entry has ΣDebit = ΣCredit</t>
  </si>
  <si>
    <t xml:space="preserve">Journal sheet — TOTAL row + Dr−Cr check</t>
  </si>
  <si>
    <t xml:space="preserve">Trial Balance: Account Dr balance = MAX(SUMIF(Journal.Account, name, Journal.Debit) − SUMIF(...,Journal.Credit), 0); Cr balance = MAX(negative of that, 0)</t>
  </si>
  <si>
    <t xml:space="preserve">Trial Balance — columns C (Dr) and D (Cr)</t>
  </si>
  <si>
    <t xml:space="preserve">Trial Balance must balance: ΣDr = ΣCr (Dr−Cr check row = 0)</t>
  </si>
  <si>
    <t xml:space="preserve">Trial Balance — TOTAL + check rows</t>
  </si>
  <si>
    <t xml:space="preserve">Closing Stock is a period-end input, posted only via Adjustments sheet</t>
  </si>
  <si>
    <t xml:space="preserve">Adjustments → Trading A/c (Cr) + Balance Sheet (Asset)</t>
  </si>
  <si>
    <t xml:space="preserve">Depreciation = (Trial Balance asset balance) × rate%</t>
  </si>
  <si>
    <t xml:space="preserve">Adjustments sheet → Balance Sheet (deducted from asset) + P&amp;L (Dr)</t>
  </si>
  <si>
    <t xml:space="preserve">Gross Profit = (Sales + Closing Stock) − (Opening Stock + Purchases + Direct Expenses)</t>
  </si>
  <si>
    <t xml:space="preserve">Trading Account — Gross Profit c/d / Gross Loss c/d (IF pair)</t>
  </si>
  <si>
    <t xml:space="preserve">Net Profit = (Gross Profit + Indirect Incomes) − Indirect Expenses</t>
  </si>
  <si>
    <t xml:space="preserve">P&amp;L A/c — Net Profit / Net Loss (IF pair)</t>
  </si>
  <si>
    <t xml:space="preserve">Closing Capital = Opening Capital + Net Profit − Net Loss − Drawings</t>
  </si>
  <si>
    <t xml:space="preserve">Balance Sheet — Capital (closing balance) row</t>
  </si>
  <si>
    <t xml:space="preserve">Balance Sheet identity: Total Assets = Total Capital &amp; Liabilities</t>
  </si>
  <si>
    <t xml:space="preserve">Balance Sheet — TOTAL rows + balance check</t>
  </si>
  <si>
    <t xml:space="preserve">Why it must balance: every adjustment is posted on BOTH the Trading/P&amp;L (expense/income effect) AND the Balance Sheet (asset/liability effect). If you post only one side, the Balance Sheet will not tally.</t>
  </si>
  <si>
    <t xml:space="preserve">All adjustment rows — see Adjustments sheet</t>
  </si>
  <si>
    <t xml:space="preserve">Assumptions (clearly flagged — NOT from user data)</t>
  </si>
  <si>
    <t xml:space="preserve">A1</t>
  </si>
  <si>
    <t xml:space="preserve">Closing Stock value Rs 40000 is a period-end assumption (not derived from the Journal).</t>
  </si>
  <si>
    <t xml:space="preserve">A2</t>
  </si>
  <si>
    <t xml:space="preserve">Depreciation @ 10% on Furniture &amp; Fixtures is a policy assumption.</t>
  </si>
  <si>
    <t xml:space="preserve">A3</t>
  </si>
  <si>
    <t xml:space="preserve">Adjustment "Salary outstanding at year end" (Rs 2000) is a period-end assumption.</t>
  </si>
  <si>
    <t xml:space="preserve">A4</t>
  </si>
  <si>
    <t xml:space="preserve">Adjustment "Insurance prepaid at year end" (Rs 500) is a period-end assumption.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</si>
</sst>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i val="true"/>
      <sz val="9"/>
      <color rgb="FF8C8A8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00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0"/>
      <color rgb="FF8C8A84"/>
      <name val="Calibri"/>
      <family val="0"/>
      <charset val="1"/>
    </font>
    <font>
      <sz val="11"/>
      <color rgb="FF008000"/>
      <name val="Calibri"/>
      <family val="0"/>
      <charset val="1"/>
    </font>
    <font>
      <i val="true"/>
      <sz val="10"/>
      <color rgb="FF8C8A84"/>
      <name val="Calibri"/>
      <family val="0"/>
      <charset val="1"/>
    </font>
    <font>
      <i val="true"/>
      <sz val="10"/>
      <color rgb="FF008000"/>
      <name val="Calibri"/>
      <family val="0"/>
      <charset val="1"/>
    </font>
    <font>
      <b val="true"/>
      <sz val="11"/>
      <color rgb="FF008000"/>
      <name val="Calibri"/>
      <family val="0"/>
      <charset val="1"/>
    </font>
    <font>
      <b val="true"/>
      <sz val="14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7F7F5"/>
        <bgColor rgb="FFFFFFFF"/>
      </patternFill>
    </fill>
    <fill>
      <patternFill patternType="solid">
        <fgColor rgb="FFD6E4F0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B2A4A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37352F"/>
      </top>
      <bottom style="double">
        <color rgb="FF37352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D46"/>
      <rgbColor rgb="FFBFBFBF"/>
      <rgbColor rgb="FF8C8A84"/>
      <rgbColor rgb="FF9999FF"/>
      <rgbColor rgb="FF993366"/>
      <rgbColor rgb="FFF7F7F5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820A"/>
      <rgbColor rgb="FFFF6600"/>
      <rgbColor rgb="FF666699"/>
      <rgbColor rgb="FF969696"/>
      <rgbColor rgb="FF1B2A4A"/>
      <rgbColor rgb="FF339966"/>
      <rgbColor rgb="FF003300"/>
      <rgbColor rgb="FF333300"/>
      <rgbColor rgb="FF993300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F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30"/>
    <col collapsed="false" customWidth="true" hidden="false" outlineLevel="0" max="6" min="5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n">
        <v>1</v>
      </c>
      <c r="B6" s="5" t="s">
        <v>9</v>
      </c>
      <c r="C6" s="6" t="s">
        <v>10</v>
      </c>
      <c r="D6" s="5" t="s">
        <v>11</v>
      </c>
      <c r="E6" s="7" t="n">
        <v>200000</v>
      </c>
      <c r="F6" s="7"/>
    </row>
    <row r="7" customFormat="false" ht="15" hidden="false" customHeight="false" outlineLevel="0" collapsed="false">
      <c r="A7" s="8"/>
      <c r="B7" s="8"/>
      <c r="C7" s="9"/>
      <c r="D7" s="8" t="s">
        <v>12</v>
      </c>
      <c r="E7" s="10"/>
      <c r="F7" s="10" t="n">
        <v>200000</v>
      </c>
    </row>
    <row r="8" customFormat="false" ht="15" hidden="false" customHeight="false" outlineLevel="0" collapsed="false">
      <c r="A8" s="5" t="n">
        <v>2</v>
      </c>
      <c r="B8" s="5" t="s">
        <v>13</v>
      </c>
      <c r="C8" s="6" t="s">
        <v>14</v>
      </c>
      <c r="D8" s="5" t="s">
        <v>15</v>
      </c>
      <c r="E8" s="7" t="n">
        <v>80000</v>
      </c>
      <c r="F8" s="7"/>
    </row>
    <row r="9" customFormat="false" ht="15" hidden="false" customHeight="false" outlineLevel="0" collapsed="false">
      <c r="A9" s="8"/>
      <c r="B9" s="8"/>
      <c r="C9" s="9"/>
      <c r="D9" s="8" t="s">
        <v>11</v>
      </c>
      <c r="E9" s="10"/>
      <c r="F9" s="10" t="n">
        <v>80000</v>
      </c>
    </row>
    <row r="10" customFormat="false" ht="15" hidden="false" customHeight="false" outlineLevel="0" collapsed="false">
      <c r="A10" s="5" t="n">
        <v>3</v>
      </c>
      <c r="B10" s="5" t="s">
        <v>16</v>
      </c>
      <c r="C10" s="6" t="s">
        <v>17</v>
      </c>
      <c r="D10" s="5" t="s">
        <v>18</v>
      </c>
      <c r="E10" s="7" t="n">
        <v>30000</v>
      </c>
      <c r="F10" s="7"/>
    </row>
    <row r="11" customFormat="false" ht="15" hidden="false" customHeight="false" outlineLevel="0" collapsed="false">
      <c r="A11" s="8"/>
      <c r="B11" s="8"/>
      <c r="C11" s="9"/>
      <c r="D11" s="8" t="s">
        <v>11</v>
      </c>
      <c r="E11" s="10"/>
      <c r="F11" s="10" t="n">
        <v>30000</v>
      </c>
    </row>
    <row r="12" customFormat="false" ht="15" hidden="false" customHeight="false" outlineLevel="0" collapsed="false">
      <c r="A12" s="5" t="n">
        <v>4</v>
      </c>
      <c r="B12" s="5" t="s">
        <v>19</v>
      </c>
      <c r="C12" s="6" t="s">
        <v>20</v>
      </c>
      <c r="D12" s="5" t="s">
        <v>18</v>
      </c>
      <c r="E12" s="7" t="n">
        <v>25000</v>
      </c>
      <c r="F12" s="7"/>
    </row>
    <row r="13" customFormat="false" ht="15" hidden="false" customHeight="false" outlineLevel="0" collapsed="false">
      <c r="A13" s="8"/>
      <c r="B13" s="8"/>
      <c r="C13" s="9"/>
      <c r="D13" s="8" t="s">
        <v>21</v>
      </c>
      <c r="E13" s="10"/>
      <c r="F13" s="10" t="n">
        <v>25000</v>
      </c>
    </row>
    <row r="14" customFormat="false" ht="15" hidden="false" customHeight="false" outlineLevel="0" collapsed="false">
      <c r="A14" s="5" t="n">
        <v>5</v>
      </c>
      <c r="B14" s="5" t="s">
        <v>22</v>
      </c>
      <c r="C14" s="6" t="s">
        <v>23</v>
      </c>
      <c r="D14" s="5" t="s">
        <v>24</v>
      </c>
      <c r="E14" s="7" t="n">
        <v>40000</v>
      </c>
      <c r="F14" s="7"/>
    </row>
    <row r="15" customFormat="false" ht="15" hidden="false" customHeight="false" outlineLevel="0" collapsed="false">
      <c r="A15" s="8"/>
      <c r="B15" s="8"/>
      <c r="C15" s="9"/>
      <c r="D15" s="8" t="s">
        <v>25</v>
      </c>
      <c r="E15" s="10"/>
      <c r="F15" s="10" t="n">
        <v>40000</v>
      </c>
    </row>
    <row r="16" customFormat="false" ht="15" hidden="false" customHeight="false" outlineLevel="0" collapsed="false">
      <c r="A16" s="5" t="n">
        <v>6</v>
      </c>
      <c r="B16" s="5" t="s">
        <v>26</v>
      </c>
      <c r="C16" s="6" t="s">
        <v>27</v>
      </c>
      <c r="D16" s="5" t="s">
        <v>11</v>
      </c>
      <c r="E16" s="7" t="n">
        <v>15000</v>
      </c>
      <c r="F16" s="7"/>
    </row>
    <row r="17" customFormat="false" ht="15" hidden="false" customHeight="false" outlineLevel="0" collapsed="false">
      <c r="A17" s="8"/>
      <c r="B17" s="8"/>
      <c r="C17" s="9"/>
      <c r="D17" s="8" t="s">
        <v>25</v>
      </c>
      <c r="E17" s="10"/>
      <c r="F17" s="10" t="n">
        <v>15000</v>
      </c>
    </row>
    <row r="18" customFormat="false" ht="15" hidden="false" customHeight="false" outlineLevel="0" collapsed="false">
      <c r="A18" s="5" t="n">
        <v>7</v>
      </c>
      <c r="B18" s="5" t="s">
        <v>28</v>
      </c>
      <c r="C18" s="6" t="s">
        <v>29</v>
      </c>
      <c r="D18" s="5" t="s">
        <v>30</v>
      </c>
      <c r="E18" s="7" t="n">
        <v>5000</v>
      </c>
      <c r="F18" s="7"/>
    </row>
    <row r="19" customFormat="false" ht="15" hidden="false" customHeight="false" outlineLevel="0" collapsed="false">
      <c r="A19" s="8"/>
      <c r="B19" s="8"/>
      <c r="C19" s="9"/>
      <c r="D19" s="8" t="s">
        <v>11</v>
      </c>
      <c r="E19" s="10"/>
      <c r="F19" s="10" t="n">
        <v>5000</v>
      </c>
    </row>
    <row r="20" customFormat="false" ht="15" hidden="false" customHeight="false" outlineLevel="0" collapsed="false">
      <c r="A20" s="5" t="n">
        <v>8</v>
      </c>
      <c r="B20" s="5" t="s">
        <v>31</v>
      </c>
      <c r="C20" s="6" t="s">
        <v>32</v>
      </c>
      <c r="D20" s="5" t="s">
        <v>33</v>
      </c>
      <c r="E20" s="7" t="n">
        <v>8000</v>
      </c>
      <c r="F20" s="7"/>
    </row>
    <row r="21" customFormat="false" ht="15" hidden="false" customHeight="false" outlineLevel="0" collapsed="false">
      <c r="A21" s="8"/>
      <c r="B21" s="8"/>
      <c r="C21" s="9"/>
      <c r="D21" s="8" t="s">
        <v>11</v>
      </c>
      <c r="E21" s="10"/>
      <c r="F21" s="10" t="n">
        <v>8000</v>
      </c>
    </row>
    <row r="22" customFormat="false" ht="15" hidden="false" customHeight="false" outlineLevel="0" collapsed="false">
      <c r="A22" s="5" t="n">
        <v>9</v>
      </c>
      <c r="B22" s="5" t="s">
        <v>34</v>
      </c>
      <c r="C22" s="6" t="s">
        <v>35</v>
      </c>
      <c r="D22" s="5" t="s">
        <v>36</v>
      </c>
      <c r="E22" s="7" t="n">
        <v>12000</v>
      </c>
      <c r="F22" s="7"/>
    </row>
    <row r="23" customFormat="false" ht="15" hidden="false" customHeight="false" outlineLevel="0" collapsed="false">
      <c r="A23" s="8"/>
      <c r="B23" s="8"/>
      <c r="C23" s="9"/>
      <c r="D23" s="8" t="s">
        <v>15</v>
      </c>
      <c r="E23" s="10"/>
      <c r="F23" s="10" t="n">
        <v>12000</v>
      </c>
    </row>
    <row r="24" customFormat="false" ht="15" hidden="false" customHeight="false" outlineLevel="0" collapsed="false">
      <c r="A24" s="5" t="n">
        <v>10</v>
      </c>
      <c r="B24" s="5" t="s">
        <v>37</v>
      </c>
      <c r="C24" s="6" t="s">
        <v>38</v>
      </c>
      <c r="D24" s="5" t="s">
        <v>39</v>
      </c>
      <c r="E24" s="7" t="n">
        <v>30000</v>
      </c>
      <c r="F24" s="7"/>
    </row>
    <row r="25" customFormat="false" ht="15" hidden="false" customHeight="false" outlineLevel="0" collapsed="false">
      <c r="A25" s="8"/>
      <c r="B25" s="8"/>
      <c r="C25" s="9"/>
      <c r="D25" s="8" t="s">
        <v>25</v>
      </c>
      <c r="E25" s="10"/>
      <c r="F25" s="10" t="n">
        <v>30000</v>
      </c>
    </row>
    <row r="26" customFormat="false" ht="15" hidden="false" customHeight="false" outlineLevel="0" collapsed="false">
      <c r="A26" s="5" t="n">
        <v>11</v>
      </c>
      <c r="B26" s="5" t="s">
        <v>40</v>
      </c>
      <c r="C26" s="6" t="s">
        <v>41</v>
      </c>
      <c r="D26" s="5" t="s">
        <v>15</v>
      </c>
      <c r="E26" s="7" t="n">
        <v>38000</v>
      </c>
      <c r="F26" s="7"/>
    </row>
    <row r="27" customFormat="false" ht="15" hidden="false" customHeight="false" outlineLevel="0" collapsed="false">
      <c r="A27" s="8"/>
      <c r="B27" s="8"/>
      <c r="C27" s="9"/>
      <c r="D27" s="8" t="s">
        <v>42</v>
      </c>
      <c r="E27" s="10" t="n">
        <v>2000</v>
      </c>
      <c r="F27" s="10"/>
    </row>
    <row r="28" customFormat="false" ht="15" hidden="false" customHeight="false" outlineLevel="0" collapsed="false">
      <c r="A28" s="5"/>
      <c r="B28" s="5"/>
      <c r="C28" s="6"/>
      <c r="D28" s="5" t="s">
        <v>24</v>
      </c>
      <c r="E28" s="7"/>
      <c r="F28" s="7" t="n">
        <v>40000</v>
      </c>
    </row>
    <row r="29" customFormat="false" ht="15" hidden="false" customHeight="false" outlineLevel="0" collapsed="false">
      <c r="A29" s="8" t="n">
        <v>12</v>
      </c>
      <c r="B29" s="8" t="s">
        <v>43</v>
      </c>
      <c r="C29" s="9" t="s">
        <v>44</v>
      </c>
      <c r="D29" s="8" t="s">
        <v>21</v>
      </c>
      <c r="E29" s="10" t="n">
        <v>25000</v>
      </c>
      <c r="F29" s="10"/>
    </row>
    <row r="30" customFormat="false" ht="15" hidden="false" customHeight="false" outlineLevel="0" collapsed="false">
      <c r="A30" s="5"/>
      <c r="B30" s="5"/>
      <c r="C30" s="6"/>
      <c r="D30" s="5" t="s">
        <v>15</v>
      </c>
      <c r="E30" s="7"/>
      <c r="F30" s="7" t="n">
        <v>24500</v>
      </c>
    </row>
    <row r="31" customFormat="false" ht="15" hidden="false" customHeight="false" outlineLevel="0" collapsed="false">
      <c r="A31" s="8"/>
      <c r="B31" s="8"/>
      <c r="C31" s="9"/>
      <c r="D31" s="8" t="s">
        <v>45</v>
      </c>
      <c r="E31" s="10"/>
      <c r="F31" s="10" t="n">
        <v>500</v>
      </c>
    </row>
    <row r="32" customFormat="false" ht="15" hidden="false" customHeight="false" outlineLevel="0" collapsed="false">
      <c r="A32" s="5" t="n">
        <v>13</v>
      </c>
      <c r="B32" s="5" t="s">
        <v>46</v>
      </c>
      <c r="C32" s="6" t="s">
        <v>47</v>
      </c>
      <c r="D32" s="5" t="s">
        <v>48</v>
      </c>
      <c r="E32" s="7" t="n">
        <v>2000</v>
      </c>
      <c r="F32" s="7"/>
    </row>
    <row r="33" customFormat="false" ht="15" hidden="false" customHeight="false" outlineLevel="0" collapsed="false">
      <c r="A33" s="8"/>
      <c r="B33" s="8"/>
      <c r="C33" s="9"/>
      <c r="D33" s="8" t="s">
        <v>15</v>
      </c>
      <c r="E33" s="10"/>
      <c r="F33" s="10" t="n">
        <v>2000</v>
      </c>
    </row>
    <row r="34" customFormat="false" ht="15" hidden="false" customHeight="false" outlineLevel="0" collapsed="false">
      <c r="A34" s="5" t="n">
        <v>14</v>
      </c>
      <c r="B34" s="5" t="s">
        <v>49</v>
      </c>
      <c r="C34" s="6" t="s">
        <v>17</v>
      </c>
      <c r="D34" s="5" t="s">
        <v>18</v>
      </c>
      <c r="E34" s="7" t="n">
        <v>20000</v>
      </c>
      <c r="F34" s="7"/>
    </row>
    <row r="35" customFormat="false" ht="15" hidden="false" customHeight="false" outlineLevel="0" collapsed="false">
      <c r="A35" s="8"/>
      <c r="B35" s="8"/>
      <c r="C35" s="9"/>
      <c r="D35" s="8" t="s">
        <v>11</v>
      </c>
      <c r="E35" s="10"/>
      <c r="F35" s="10" t="n">
        <v>20000</v>
      </c>
    </row>
    <row r="36" customFormat="false" ht="15" hidden="false" customHeight="false" outlineLevel="0" collapsed="false">
      <c r="A36" s="5" t="n">
        <v>15</v>
      </c>
      <c r="B36" s="5" t="s">
        <v>50</v>
      </c>
      <c r="C36" s="6" t="s">
        <v>51</v>
      </c>
      <c r="D36" s="5" t="s">
        <v>52</v>
      </c>
      <c r="E36" s="7" t="n">
        <v>35000</v>
      </c>
      <c r="F36" s="7"/>
    </row>
    <row r="37" customFormat="false" ht="15" hidden="false" customHeight="false" outlineLevel="0" collapsed="false">
      <c r="A37" s="8"/>
      <c r="B37" s="8"/>
      <c r="C37" s="9"/>
      <c r="D37" s="8" t="s">
        <v>25</v>
      </c>
      <c r="E37" s="10"/>
      <c r="F37" s="10" t="n">
        <v>35000</v>
      </c>
    </row>
    <row r="38" customFormat="false" ht="15" hidden="false" customHeight="false" outlineLevel="0" collapsed="false">
      <c r="A38" s="5" t="n">
        <v>16</v>
      </c>
      <c r="B38" s="5" t="s">
        <v>53</v>
      </c>
      <c r="C38" s="6" t="s">
        <v>54</v>
      </c>
      <c r="D38" s="5" t="s">
        <v>55</v>
      </c>
      <c r="E38" s="7" t="n">
        <v>3000</v>
      </c>
      <c r="F38" s="7"/>
    </row>
    <row r="39" customFormat="false" ht="15" hidden="false" customHeight="false" outlineLevel="0" collapsed="false">
      <c r="A39" s="8"/>
      <c r="B39" s="8"/>
      <c r="C39" s="9"/>
      <c r="D39" s="8" t="s">
        <v>15</v>
      </c>
      <c r="E39" s="10"/>
      <c r="F39" s="10" t="n">
        <v>3000</v>
      </c>
    </row>
    <row r="40" customFormat="false" ht="15" hidden="false" customHeight="false" outlineLevel="0" collapsed="false">
      <c r="A40" s="5" t="n">
        <v>17</v>
      </c>
      <c r="B40" s="5" t="s">
        <v>56</v>
      </c>
      <c r="C40" s="6" t="s">
        <v>57</v>
      </c>
      <c r="D40" s="5" t="s">
        <v>58</v>
      </c>
      <c r="E40" s="7" t="n">
        <v>5000</v>
      </c>
      <c r="F40" s="7"/>
    </row>
    <row r="41" customFormat="false" ht="15" hidden="false" customHeight="false" outlineLevel="0" collapsed="false">
      <c r="A41" s="8"/>
      <c r="B41" s="8"/>
      <c r="C41" s="9"/>
      <c r="D41" s="8" t="s">
        <v>11</v>
      </c>
      <c r="E41" s="10"/>
      <c r="F41" s="10" t="n">
        <v>5000</v>
      </c>
    </row>
    <row r="42" customFormat="false" ht="15" hidden="false" customHeight="false" outlineLevel="0" collapsed="false">
      <c r="A42" s="5" t="n">
        <v>18</v>
      </c>
      <c r="B42" s="5" t="s">
        <v>59</v>
      </c>
      <c r="C42" s="6" t="s">
        <v>60</v>
      </c>
      <c r="D42" s="5" t="s">
        <v>61</v>
      </c>
      <c r="E42" s="7" t="n">
        <v>1500</v>
      </c>
      <c r="F42" s="7"/>
    </row>
    <row r="43" customFormat="false" ht="15" hidden="false" customHeight="false" outlineLevel="0" collapsed="false">
      <c r="A43" s="8"/>
      <c r="B43" s="8"/>
      <c r="C43" s="9"/>
      <c r="D43" s="8" t="s">
        <v>11</v>
      </c>
      <c r="E43" s="10"/>
      <c r="F43" s="10" t="n">
        <v>1500</v>
      </c>
    </row>
    <row r="44" customFormat="false" ht="15" hidden="false" customHeight="false" outlineLevel="0" collapsed="false">
      <c r="A44" s="5" t="n">
        <v>19</v>
      </c>
      <c r="B44" s="5" t="s">
        <v>62</v>
      </c>
      <c r="C44" s="6" t="s">
        <v>63</v>
      </c>
      <c r="D44" s="5" t="s">
        <v>18</v>
      </c>
      <c r="E44" s="7" t="n">
        <v>18000</v>
      </c>
      <c r="F44" s="7"/>
    </row>
    <row r="45" customFormat="false" ht="15" hidden="false" customHeight="false" outlineLevel="0" collapsed="false">
      <c r="A45" s="8"/>
      <c r="B45" s="8"/>
      <c r="C45" s="9"/>
      <c r="D45" s="8" t="s">
        <v>64</v>
      </c>
      <c r="E45" s="10"/>
      <c r="F45" s="10" t="n">
        <v>18000</v>
      </c>
    </row>
    <row r="46" customFormat="false" ht="15" hidden="false" customHeight="false" outlineLevel="0" collapsed="false">
      <c r="A46" s="5" t="n">
        <v>20</v>
      </c>
      <c r="B46" s="5" t="s">
        <v>65</v>
      </c>
      <c r="C46" s="6" t="s">
        <v>27</v>
      </c>
      <c r="D46" s="5" t="s">
        <v>11</v>
      </c>
      <c r="E46" s="7" t="n">
        <v>22000</v>
      </c>
      <c r="F46" s="7"/>
    </row>
    <row r="47" customFormat="false" ht="15" hidden="false" customHeight="false" outlineLevel="0" collapsed="false">
      <c r="A47" s="8"/>
      <c r="B47" s="8"/>
      <c r="C47" s="9"/>
      <c r="D47" s="8" t="s">
        <v>25</v>
      </c>
      <c r="E47" s="10"/>
      <c r="F47" s="10" t="n">
        <v>22000</v>
      </c>
    </row>
    <row r="48" customFormat="false" ht="15" hidden="false" customHeight="false" outlineLevel="0" collapsed="false">
      <c r="D48" s="11" t="s">
        <v>66</v>
      </c>
      <c r="E48" s="12" t="n">
        <f aca="false">SUM(E6:E47)</f>
        <v>616500</v>
      </c>
      <c r="F48" s="12" t="n">
        <f aca="false">SUM(F6:F47)</f>
        <v>616500</v>
      </c>
    </row>
    <row r="49" customFormat="false" ht="15" hidden="false" customHeight="false" outlineLevel="0" collapsed="false">
      <c r="D49" s="13" t="s">
        <v>67</v>
      </c>
      <c r="E49" s="14" t="n">
        <f aca="false">E48-F48</f>
        <v>0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4" min="3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68</v>
      </c>
      <c r="B2" s="2"/>
      <c r="C2" s="2"/>
      <c r="D2" s="2"/>
      <c r="E2" s="2"/>
    </row>
    <row r="3" customFormat="false" ht="15" hidden="false" customHeight="false" outlineLevel="0" collapsed="false">
      <c r="A3" s="3" t="s">
        <v>69</v>
      </c>
      <c r="B3" s="3"/>
      <c r="C3" s="3"/>
      <c r="D3" s="3"/>
      <c r="E3" s="3"/>
    </row>
    <row r="5" customFormat="false" ht="15" hidden="false" customHeight="false" outlineLevel="0" collapsed="false">
      <c r="A5" s="4" t="s">
        <v>6</v>
      </c>
      <c r="B5" s="4" t="s">
        <v>70</v>
      </c>
      <c r="C5" s="4" t="s">
        <v>71</v>
      </c>
      <c r="D5" s="4" t="s">
        <v>72</v>
      </c>
    </row>
    <row r="6" customFormat="false" ht="15" hidden="false" customHeight="false" outlineLevel="0" collapsed="false">
      <c r="A6" s="5" t="s">
        <v>11</v>
      </c>
      <c r="B6" s="15" t="s">
        <v>73</v>
      </c>
      <c r="C6" s="16" t="n">
        <f aca="false">IF((SUMIF(Journal!$D$6:$D$47,A6,Journal!$E$6:$E$47)-SUMIF(Journal!$D$6:$D$47,A6,Journal!$F$6:$F$47))&gt;=0,(SUMIF(Journal!$D$6:$D$47,A6,Journal!$E$6:$E$47)-SUMIF(Journal!$D$6:$D$47,A6,Journal!$F$6:$F$47)),0)</f>
        <v>87500</v>
      </c>
      <c r="D6" s="16" t="n">
        <f aca="false">IF((SUMIF(Journal!$D$6:$D$47,A6,Journal!$E$6:$E$47)-SUMIF(Journal!$D$6:$D$47,A6,Journal!$F$6:$F$47))&lt;0,-(SUMIF(Journal!$D$6:$D$47,A6,Journal!$E$6:$E$47)-SUMIF(Journal!$D$6:$D$47,A6,Journal!$F$6:$F$47)),0)</f>
        <v>0</v>
      </c>
    </row>
    <row r="7" customFormat="false" ht="15" hidden="false" customHeight="false" outlineLevel="0" collapsed="false">
      <c r="A7" s="8" t="s">
        <v>12</v>
      </c>
      <c r="B7" s="17" t="s">
        <v>74</v>
      </c>
      <c r="C7" s="18" t="n">
        <f aca="false">IF((SUMIF(Journal!$D$6:$D$47,A7,Journal!$E$6:$E$47)-SUMIF(Journal!$D$6:$D$47,A7,Journal!$F$6:$F$47))&gt;=0,(SUMIF(Journal!$D$6:$D$47,A7,Journal!$E$6:$E$47)-SUMIF(Journal!$D$6:$D$47,A7,Journal!$F$6:$F$47)),0)</f>
        <v>0</v>
      </c>
      <c r="D7" s="18" t="n">
        <f aca="false">IF((SUMIF(Journal!$D$6:$D$47,A7,Journal!$E$6:$E$47)-SUMIF(Journal!$D$6:$D$47,A7,Journal!$F$6:$F$47))&lt;0,-(SUMIF(Journal!$D$6:$D$47,A7,Journal!$E$6:$E$47)-SUMIF(Journal!$D$6:$D$47,A7,Journal!$F$6:$F$47)),0)</f>
        <v>200000</v>
      </c>
    </row>
    <row r="8" customFormat="false" ht="15" hidden="false" customHeight="false" outlineLevel="0" collapsed="false">
      <c r="A8" s="5" t="s">
        <v>15</v>
      </c>
      <c r="B8" s="15" t="s">
        <v>73</v>
      </c>
      <c r="C8" s="16" t="n">
        <f aca="false">IF((SUMIF(Journal!$D$6:$D$47,A8,Journal!$E$6:$E$47)-SUMIF(Journal!$D$6:$D$47,A8,Journal!$F$6:$F$47))&gt;=0,(SUMIF(Journal!$D$6:$D$47,A8,Journal!$E$6:$E$47)-SUMIF(Journal!$D$6:$D$47,A8,Journal!$F$6:$F$47)),0)</f>
        <v>76500</v>
      </c>
      <c r="D8" s="16" t="n">
        <f aca="false">IF((SUMIF(Journal!$D$6:$D$47,A8,Journal!$E$6:$E$47)-SUMIF(Journal!$D$6:$D$47,A8,Journal!$F$6:$F$47))&lt;0,-(SUMIF(Journal!$D$6:$D$47,A8,Journal!$E$6:$E$47)-SUMIF(Journal!$D$6:$D$47,A8,Journal!$F$6:$F$47)),0)</f>
        <v>0</v>
      </c>
    </row>
    <row r="9" customFormat="false" ht="15" hidden="false" customHeight="false" outlineLevel="0" collapsed="false">
      <c r="A9" s="8" t="s">
        <v>18</v>
      </c>
      <c r="B9" s="17" t="s">
        <v>75</v>
      </c>
      <c r="C9" s="18" t="n">
        <f aca="false">IF((SUMIF(Journal!$D$6:$D$47,A9,Journal!$E$6:$E$47)-SUMIF(Journal!$D$6:$D$47,A9,Journal!$F$6:$F$47))&gt;=0,(SUMIF(Journal!$D$6:$D$47,A9,Journal!$E$6:$E$47)-SUMIF(Journal!$D$6:$D$47,A9,Journal!$F$6:$F$47)),0)</f>
        <v>93000</v>
      </c>
      <c r="D9" s="18" t="n">
        <f aca="false">IF((SUMIF(Journal!$D$6:$D$47,A9,Journal!$E$6:$E$47)-SUMIF(Journal!$D$6:$D$47,A9,Journal!$F$6:$F$47))&lt;0,-(SUMIF(Journal!$D$6:$D$47,A9,Journal!$E$6:$E$47)-SUMIF(Journal!$D$6:$D$47,A9,Journal!$F$6:$F$47)),0)</f>
        <v>0</v>
      </c>
    </row>
    <row r="10" customFormat="false" ht="15" hidden="false" customHeight="false" outlineLevel="0" collapsed="false">
      <c r="A10" s="5" t="s">
        <v>21</v>
      </c>
      <c r="B10" s="15" t="s">
        <v>76</v>
      </c>
      <c r="C10" s="16" t="n">
        <f aca="false">IF((SUMIF(Journal!$D$6:$D$47,A10,Journal!$E$6:$E$47)-SUMIF(Journal!$D$6:$D$47,A10,Journal!$F$6:$F$47))&gt;=0,(SUMIF(Journal!$D$6:$D$47,A10,Journal!$E$6:$E$47)-SUMIF(Journal!$D$6:$D$47,A10,Journal!$F$6:$F$47)),0)</f>
        <v>0</v>
      </c>
      <c r="D10" s="16" t="n">
        <f aca="false">IF((SUMIF(Journal!$D$6:$D$47,A10,Journal!$E$6:$E$47)-SUMIF(Journal!$D$6:$D$47,A10,Journal!$F$6:$F$47))&lt;0,-(SUMIF(Journal!$D$6:$D$47,A10,Journal!$E$6:$E$47)-SUMIF(Journal!$D$6:$D$47,A10,Journal!$F$6:$F$47)),0)</f>
        <v>0</v>
      </c>
    </row>
    <row r="11" customFormat="false" ht="15" hidden="false" customHeight="false" outlineLevel="0" collapsed="false">
      <c r="A11" s="8" t="s">
        <v>24</v>
      </c>
      <c r="B11" s="17" t="s">
        <v>73</v>
      </c>
      <c r="C11" s="18" t="n">
        <f aca="false">IF((SUMIF(Journal!$D$6:$D$47,A11,Journal!$E$6:$E$47)-SUMIF(Journal!$D$6:$D$47,A11,Journal!$F$6:$F$47))&gt;=0,(SUMIF(Journal!$D$6:$D$47,A11,Journal!$E$6:$E$47)-SUMIF(Journal!$D$6:$D$47,A11,Journal!$F$6:$F$47)),0)</f>
        <v>0</v>
      </c>
      <c r="D11" s="18" t="n">
        <f aca="false">IF((SUMIF(Journal!$D$6:$D$47,A11,Journal!$E$6:$E$47)-SUMIF(Journal!$D$6:$D$47,A11,Journal!$F$6:$F$47))&lt;0,-(SUMIF(Journal!$D$6:$D$47,A11,Journal!$E$6:$E$47)-SUMIF(Journal!$D$6:$D$47,A11,Journal!$F$6:$F$47)),0)</f>
        <v>0</v>
      </c>
    </row>
    <row r="12" customFormat="false" ht="15" hidden="false" customHeight="false" outlineLevel="0" collapsed="false">
      <c r="A12" s="5" t="s">
        <v>25</v>
      </c>
      <c r="B12" s="15" t="s">
        <v>77</v>
      </c>
      <c r="C12" s="16" t="n">
        <f aca="false">IF((SUMIF(Journal!$D$6:$D$47,A12,Journal!$E$6:$E$47)-SUMIF(Journal!$D$6:$D$47,A12,Journal!$F$6:$F$47))&gt;=0,(SUMIF(Journal!$D$6:$D$47,A12,Journal!$E$6:$E$47)-SUMIF(Journal!$D$6:$D$47,A12,Journal!$F$6:$F$47)),0)</f>
        <v>0</v>
      </c>
      <c r="D12" s="16" t="n">
        <f aca="false">IF((SUMIF(Journal!$D$6:$D$47,A12,Journal!$E$6:$E$47)-SUMIF(Journal!$D$6:$D$47,A12,Journal!$F$6:$F$47))&lt;0,-(SUMIF(Journal!$D$6:$D$47,A12,Journal!$E$6:$E$47)-SUMIF(Journal!$D$6:$D$47,A12,Journal!$F$6:$F$47)),0)</f>
        <v>142000</v>
      </c>
    </row>
    <row r="13" customFormat="false" ht="15" hidden="false" customHeight="false" outlineLevel="0" collapsed="false">
      <c r="A13" s="8" t="s">
        <v>30</v>
      </c>
      <c r="B13" s="17" t="s">
        <v>78</v>
      </c>
      <c r="C13" s="18" t="n">
        <f aca="false">IF((SUMIF(Journal!$D$6:$D$47,A13,Journal!$E$6:$E$47)-SUMIF(Journal!$D$6:$D$47,A13,Journal!$F$6:$F$47))&gt;=0,(SUMIF(Journal!$D$6:$D$47,A13,Journal!$E$6:$E$47)-SUMIF(Journal!$D$6:$D$47,A13,Journal!$F$6:$F$47)),0)</f>
        <v>5000</v>
      </c>
      <c r="D13" s="18" t="n">
        <f aca="false">IF((SUMIF(Journal!$D$6:$D$47,A13,Journal!$E$6:$E$47)-SUMIF(Journal!$D$6:$D$47,A13,Journal!$F$6:$F$47))&lt;0,-(SUMIF(Journal!$D$6:$D$47,A13,Journal!$E$6:$E$47)-SUMIF(Journal!$D$6:$D$47,A13,Journal!$F$6:$F$47)),0)</f>
        <v>0</v>
      </c>
    </row>
    <row r="14" customFormat="false" ht="15" hidden="false" customHeight="false" outlineLevel="0" collapsed="false">
      <c r="A14" s="5" t="s">
        <v>33</v>
      </c>
      <c r="B14" s="15" t="s">
        <v>78</v>
      </c>
      <c r="C14" s="16" t="n">
        <f aca="false">IF((SUMIF(Journal!$D$6:$D$47,A14,Journal!$E$6:$E$47)-SUMIF(Journal!$D$6:$D$47,A14,Journal!$F$6:$F$47))&gt;=0,(SUMIF(Journal!$D$6:$D$47,A14,Journal!$E$6:$E$47)-SUMIF(Journal!$D$6:$D$47,A14,Journal!$F$6:$F$47)),0)</f>
        <v>8000</v>
      </c>
      <c r="D14" s="16" t="n">
        <f aca="false">IF((SUMIF(Journal!$D$6:$D$47,A14,Journal!$E$6:$E$47)-SUMIF(Journal!$D$6:$D$47,A14,Journal!$F$6:$F$47))&lt;0,-(SUMIF(Journal!$D$6:$D$47,A14,Journal!$E$6:$E$47)-SUMIF(Journal!$D$6:$D$47,A14,Journal!$F$6:$F$47)),0)</f>
        <v>0</v>
      </c>
    </row>
    <row r="15" customFormat="false" ht="15" hidden="false" customHeight="false" outlineLevel="0" collapsed="false">
      <c r="A15" s="8" t="s">
        <v>36</v>
      </c>
      <c r="B15" s="17" t="s">
        <v>73</v>
      </c>
      <c r="C15" s="18" t="n">
        <f aca="false">IF((SUMIF(Journal!$D$6:$D$47,A15,Journal!$E$6:$E$47)-SUMIF(Journal!$D$6:$D$47,A15,Journal!$F$6:$F$47))&gt;=0,(SUMIF(Journal!$D$6:$D$47,A15,Journal!$E$6:$E$47)-SUMIF(Journal!$D$6:$D$47,A15,Journal!$F$6:$F$47)),0)</f>
        <v>12000</v>
      </c>
      <c r="D15" s="18" t="n">
        <f aca="false">IF((SUMIF(Journal!$D$6:$D$47,A15,Journal!$E$6:$E$47)-SUMIF(Journal!$D$6:$D$47,A15,Journal!$F$6:$F$47))&lt;0,-(SUMIF(Journal!$D$6:$D$47,A15,Journal!$E$6:$E$47)-SUMIF(Journal!$D$6:$D$47,A15,Journal!$F$6:$F$47)),0)</f>
        <v>0</v>
      </c>
    </row>
    <row r="16" customFormat="false" ht="15" hidden="false" customHeight="false" outlineLevel="0" collapsed="false">
      <c r="A16" s="5" t="s">
        <v>39</v>
      </c>
      <c r="B16" s="15" t="s">
        <v>73</v>
      </c>
      <c r="C16" s="16" t="n">
        <f aca="false">IF((SUMIF(Journal!$D$6:$D$47,A16,Journal!$E$6:$E$47)-SUMIF(Journal!$D$6:$D$47,A16,Journal!$F$6:$F$47))&gt;=0,(SUMIF(Journal!$D$6:$D$47,A16,Journal!$E$6:$E$47)-SUMIF(Journal!$D$6:$D$47,A16,Journal!$F$6:$F$47)),0)</f>
        <v>30000</v>
      </c>
      <c r="D16" s="16" t="n">
        <f aca="false">IF((SUMIF(Journal!$D$6:$D$47,A16,Journal!$E$6:$E$47)-SUMIF(Journal!$D$6:$D$47,A16,Journal!$F$6:$F$47))&lt;0,-(SUMIF(Journal!$D$6:$D$47,A16,Journal!$E$6:$E$47)-SUMIF(Journal!$D$6:$D$47,A16,Journal!$F$6:$F$47)),0)</f>
        <v>0</v>
      </c>
    </row>
    <row r="17" customFormat="false" ht="15" hidden="false" customHeight="false" outlineLevel="0" collapsed="false">
      <c r="A17" s="8" t="s">
        <v>42</v>
      </c>
      <c r="B17" s="17" t="s">
        <v>78</v>
      </c>
      <c r="C17" s="18" t="n">
        <f aca="false">IF((SUMIF(Journal!$D$6:$D$47,A17,Journal!$E$6:$E$47)-SUMIF(Journal!$D$6:$D$47,A17,Journal!$F$6:$F$47))&gt;=0,(SUMIF(Journal!$D$6:$D$47,A17,Journal!$E$6:$E$47)-SUMIF(Journal!$D$6:$D$47,A17,Journal!$F$6:$F$47)),0)</f>
        <v>2000</v>
      </c>
      <c r="D17" s="18" t="n">
        <f aca="false">IF((SUMIF(Journal!$D$6:$D$47,A17,Journal!$E$6:$E$47)-SUMIF(Journal!$D$6:$D$47,A17,Journal!$F$6:$F$47))&lt;0,-(SUMIF(Journal!$D$6:$D$47,A17,Journal!$E$6:$E$47)-SUMIF(Journal!$D$6:$D$47,A17,Journal!$F$6:$F$47)),0)</f>
        <v>0</v>
      </c>
    </row>
    <row r="18" customFormat="false" ht="15" hidden="false" customHeight="false" outlineLevel="0" collapsed="false">
      <c r="A18" s="5" t="s">
        <v>45</v>
      </c>
      <c r="B18" s="15" t="s">
        <v>79</v>
      </c>
      <c r="C18" s="16" t="n">
        <f aca="false">IF((SUMIF(Journal!$D$6:$D$47,A18,Journal!$E$6:$E$47)-SUMIF(Journal!$D$6:$D$47,A18,Journal!$F$6:$F$47))&gt;=0,(SUMIF(Journal!$D$6:$D$47,A18,Journal!$E$6:$E$47)-SUMIF(Journal!$D$6:$D$47,A18,Journal!$F$6:$F$47)),0)</f>
        <v>0</v>
      </c>
      <c r="D18" s="16" t="n">
        <f aca="false">IF((SUMIF(Journal!$D$6:$D$47,A18,Journal!$E$6:$E$47)-SUMIF(Journal!$D$6:$D$47,A18,Journal!$F$6:$F$47))&lt;0,-(SUMIF(Journal!$D$6:$D$47,A18,Journal!$E$6:$E$47)-SUMIF(Journal!$D$6:$D$47,A18,Journal!$F$6:$F$47)),0)</f>
        <v>500</v>
      </c>
    </row>
    <row r="19" customFormat="false" ht="15" hidden="false" customHeight="false" outlineLevel="0" collapsed="false">
      <c r="A19" s="8" t="s">
        <v>48</v>
      </c>
      <c r="B19" s="17" t="s">
        <v>78</v>
      </c>
      <c r="C19" s="18" t="n">
        <f aca="false">IF((SUMIF(Journal!$D$6:$D$47,A19,Journal!$E$6:$E$47)-SUMIF(Journal!$D$6:$D$47,A19,Journal!$F$6:$F$47))&gt;=0,(SUMIF(Journal!$D$6:$D$47,A19,Journal!$E$6:$E$47)-SUMIF(Journal!$D$6:$D$47,A19,Journal!$F$6:$F$47)),0)</f>
        <v>2000</v>
      </c>
      <c r="D19" s="18" t="n">
        <f aca="false">IF((SUMIF(Journal!$D$6:$D$47,A19,Journal!$E$6:$E$47)-SUMIF(Journal!$D$6:$D$47,A19,Journal!$F$6:$F$47))&lt;0,-(SUMIF(Journal!$D$6:$D$47,A19,Journal!$E$6:$E$47)-SUMIF(Journal!$D$6:$D$47,A19,Journal!$F$6:$F$47)),0)</f>
        <v>0</v>
      </c>
    </row>
    <row r="20" customFormat="false" ht="15" hidden="false" customHeight="false" outlineLevel="0" collapsed="false">
      <c r="A20" s="5" t="s">
        <v>52</v>
      </c>
      <c r="B20" s="15" t="s">
        <v>73</v>
      </c>
      <c r="C20" s="16" t="n">
        <f aca="false">IF((SUMIF(Journal!$D$6:$D$47,A20,Journal!$E$6:$E$47)-SUMIF(Journal!$D$6:$D$47,A20,Journal!$F$6:$F$47))&gt;=0,(SUMIF(Journal!$D$6:$D$47,A20,Journal!$E$6:$E$47)-SUMIF(Journal!$D$6:$D$47,A20,Journal!$F$6:$F$47)),0)</f>
        <v>35000</v>
      </c>
      <c r="D20" s="16" t="n">
        <f aca="false">IF((SUMIF(Journal!$D$6:$D$47,A20,Journal!$E$6:$E$47)-SUMIF(Journal!$D$6:$D$47,A20,Journal!$F$6:$F$47))&lt;0,-(SUMIF(Journal!$D$6:$D$47,A20,Journal!$E$6:$E$47)-SUMIF(Journal!$D$6:$D$47,A20,Journal!$F$6:$F$47)),0)</f>
        <v>0</v>
      </c>
    </row>
    <row r="21" customFormat="false" ht="15" hidden="false" customHeight="false" outlineLevel="0" collapsed="false">
      <c r="A21" s="8" t="s">
        <v>55</v>
      </c>
      <c r="B21" s="17" t="s">
        <v>78</v>
      </c>
      <c r="C21" s="18" t="n">
        <f aca="false">IF((SUMIF(Journal!$D$6:$D$47,A21,Journal!$E$6:$E$47)-SUMIF(Journal!$D$6:$D$47,A21,Journal!$F$6:$F$47))&gt;=0,(SUMIF(Journal!$D$6:$D$47,A21,Journal!$E$6:$E$47)-SUMIF(Journal!$D$6:$D$47,A21,Journal!$F$6:$F$47)),0)</f>
        <v>3000</v>
      </c>
      <c r="D21" s="18" t="n">
        <f aca="false">IF((SUMIF(Journal!$D$6:$D$47,A21,Journal!$E$6:$E$47)-SUMIF(Journal!$D$6:$D$47,A21,Journal!$F$6:$F$47))&lt;0,-(SUMIF(Journal!$D$6:$D$47,A21,Journal!$E$6:$E$47)-SUMIF(Journal!$D$6:$D$47,A21,Journal!$F$6:$F$47)),0)</f>
        <v>0</v>
      </c>
    </row>
    <row r="22" customFormat="false" ht="15" hidden="false" customHeight="false" outlineLevel="0" collapsed="false">
      <c r="A22" s="5" t="s">
        <v>58</v>
      </c>
      <c r="B22" s="15" t="s">
        <v>80</v>
      </c>
      <c r="C22" s="16" t="n">
        <f aca="false">IF((SUMIF(Journal!$D$6:$D$47,A22,Journal!$E$6:$E$47)-SUMIF(Journal!$D$6:$D$47,A22,Journal!$F$6:$F$47))&gt;=0,(SUMIF(Journal!$D$6:$D$47,A22,Journal!$E$6:$E$47)-SUMIF(Journal!$D$6:$D$47,A22,Journal!$F$6:$F$47)),0)</f>
        <v>5000</v>
      </c>
      <c r="D22" s="16" t="n">
        <f aca="false">IF((SUMIF(Journal!$D$6:$D$47,A22,Journal!$E$6:$E$47)-SUMIF(Journal!$D$6:$D$47,A22,Journal!$F$6:$F$47))&lt;0,-(SUMIF(Journal!$D$6:$D$47,A22,Journal!$E$6:$E$47)-SUMIF(Journal!$D$6:$D$47,A22,Journal!$F$6:$F$47)),0)</f>
        <v>0</v>
      </c>
    </row>
    <row r="23" customFormat="false" ht="15" hidden="false" customHeight="false" outlineLevel="0" collapsed="false">
      <c r="A23" s="8" t="s">
        <v>61</v>
      </c>
      <c r="B23" s="17" t="s">
        <v>78</v>
      </c>
      <c r="C23" s="18" t="n">
        <f aca="false">IF((SUMIF(Journal!$D$6:$D$47,A23,Journal!$E$6:$E$47)-SUMIF(Journal!$D$6:$D$47,A23,Journal!$F$6:$F$47))&gt;=0,(SUMIF(Journal!$D$6:$D$47,A23,Journal!$E$6:$E$47)-SUMIF(Journal!$D$6:$D$47,A23,Journal!$F$6:$F$47)),0)</f>
        <v>1500</v>
      </c>
      <c r="D23" s="18" t="n">
        <f aca="false">IF((SUMIF(Journal!$D$6:$D$47,A23,Journal!$E$6:$E$47)-SUMIF(Journal!$D$6:$D$47,A23,Journal!$F$6:$F$47))&lt;0,-(SUMIF(Journal!$D$6:$D$47,A23,Journal!$E$6:$E$47)-SUMIF(Journal!$D$6:$D$47,A23,Journal!$F$6:$F$47)),0)</f>
        <v>0</v>
      </c>
    </row>
    <row r="24" customFormat="false" ht="15" hidden="false" customHeight="false" outlineLevel="0" collapsed="false">
      <c r="A24" s="5" t="s">
        <v>64</v>
      </c>
      <c r="B24" s="15" t="s">
        <v>76</v>
      </c>
      <c r="C24" s="16" t="n">
        <f aca="false">IF((SUMIF(Journal!$D$6:$D$47,A24,Journal!$E$6:$E$47)-SUMIF(Journal!$D$6:$D$47,A24,Journal!$F$6:$F$47))&gt;=0,(SUMIF(Journal!$D$6:$D$47,A24,Journal!$E$6:$E$47)-SUMIF(Journal!$D$6:$D$47,A24,Journal!$F$6:$F$47)),0)</f>
        <v>0</v>
      </c>
      <c r="D24" s="16" t="n">
        <f aca="false">IF((SUMIF(Journal!$D$6:$D$47,A24,Journal!$E$6:$E$47)-SUMIF(Journal!$D$6:$D$47,A24,Journal!$F$6:$F$47))&lt;0,-(SUMIF(Journal!$D$6:$D$47,A24,Journal!$E$6:$E$47)-SUMIF(Journal!$D$6:$D$47,A24,Journal!$F$6:$F$47)),0)</f>
        <v>18000</v>
      </c>
    </row>
    <row r="25" customFormat="false" ht="15" hidden="false" customHeight="false" outlineLevel="0" collapsed="false">
      <c r="A25" s="11" t="s">
        <v>66</v>
      </c>
      <c r="C25" s="19" t="n">
        <f aca="false">SUM(C6:C24)</f>
        <v>360500</v>
      </c>
      <c r="D25" s="19" t="n">
        <f aca="false">SUM(D6:D24)</f>
        <v>360500</v>
      </c>
    </row>
    <row r="26" customFormat="false" ht="15" hidden="false" customHeight="false" outlineLevel="0" collapsed="false">
      <c r="A26" s="13" t="s">
        <v>67</v>
      </c>
      <c r="C26" s="14" t="n">
        <f aca="false">C25-D25</f>
        <v>0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820A"/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4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81</v>
      </c>
      <c r="B2" s="2"/>
      <c r="C2" s="2"/>
      <c r="D2" s="2"/>
      <c r="E2" s="2"/>
    </row>
    <row r="3" customFormat="false" ht="15" hidden="false" customHeight="false" outlineLevel="0" collapsed="false">
      <c r="A3" s="3" t="s">
        <v>82</v>
      </c>
      <c r="B3" s="3"/>
      <c r="C3" s="3"/>
      <c r="D3" s="3"/>
      <c r="E3" s="3"/>
    </row>
    <row r="5" customFormat="false" ht="15" hidden="false" customHeight="false" outlineLevel="0" collapsed="false">
      <c r="A5" s="4" t="s">
        <v>83</v>
      </c>
      <c r="B5" s="4" t="s">
        <v>84</v>
      </c>
      <c r="C5" s="4" t="s">
        <v>85</v>
      </c>
      <c r="D5" s="4" t="s">
        <v>86</v>
      </c>
      <c r="E5" s="4" t="s">
        <v>5</v>
      </c>
    </row>
    <row r="6" customFormat="false" ht="15" hidden="false" customHeight="false" outlineLevel="0" collapsed="false">
      <c r="A6" s="5" t="n">
        <v>1</v>
      </c>
      <c r="B6" s="5" t="s">
        <v>87</v>
      </c>
      <c r="C6" s="20" t="s">
        <v>88</v>
      </c>
      <c r="D6" s="7" t="n">
        <v>40000</v>
      </c>
      <c r="E6" s="15" t="s">
        <v>87</v>
      </c>
    </row>
    <row r="7" customFormat="false" ht="15" hidden="false" customHeight="false" outlineLevel="0" collapsed="false">
      <c r="A7" s="8" t="n">
        <v>2</v>
      </c>
      <c r="B7" s="8" t="s">
        <v>89</v>
      </c>
      <c r="C7" s="21" t="n">
        <f aca="false">('Trial Balance'!C15+'Trial Balance'!D15)</f>
        <v>12000</v>
      </c>
      <c r="D7" s="18" t="n">
        <f aca="false">('Trial Balance'!C15+'Trial Balance'!D15)*0.1</f>
        <v>1200</v>
      </c>
      <c r="E7" s="17" t="s">
        <v>90</v>
      </c>
    </row>
    <row r="8" customFormat="false" ht="15" hidden="false" customHeight="false" outlineLevel="0" collapsed="false">
      <c r="A8" s="5" t="n">
        <v>3</v>
      </c>
      <c r="B8" s="5" t="s">
        <v>91</v>
      </c>
      <c r="C8" s="20" t="s">
        <v>33</v>
      </c>
      <c r="D8" s="7" t="n">
        <v>2000</v>
      </c>
      <c r="E8" s="15" t="s">
        <v>91</v>
      </c>
    </row>
    <row r="9" customFormat="false" ht="15" hidden="false" customHeight="false" outlineLevel="0" collapsed="false">
      <c r="A9" s="8" t="n">
        <v>4</v>
      </c>
      <c r="B9" s="8" t="s">
        <v>92</v>
      </c>
      <c r="C9" s="22" t="s">
        <v>48</v>
      </c>
      <c r="D9" s="10" t="n">
        <v>500</v>
      </c>
      <c r="E9" s="17" t="s">
        <v>92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93</v>
      </c>
      <c r="B2" s="2"/>
      <c r="C2" s="2"/>
      <c r="D2" s="2"/>
    </row>
    <row r="3" customFormat="false" ht="15" hidden="false" customHeight="false" outlineLevel="0" collapsed="false">
      <c r="A3" s="3" t="s">
        <v>94</v>
      </c>
      <c r="B3" s="3"/>
      <c r="C3" s="3"/>
      <c r="D3" s="3"/>
    </row>
    <row r="5" customFormat="false" ht="15" hidden="false" customHeight="false" outlineLevel="0" collapsed="false">
      <c r="A5" s="4" t="s">
        <v>95</v>
      </c>
      <c r="B5" s="4" t="s">
        <v>96</v>
      </c>
      <c r="C5" s="4" t="s">
        <v>95</v>
      </c>
      <c r="D5" s="4" t="s">
        <v>97</v>
      </c>
    </row>
    <row r="6" customFormat="false" ht="15" hidden="false" customHeight="false" outlineLevel="0" collapsed="false">
      <c r="A6" s="5" t="s">
        <v>98</v>
      </c>
      <c r="B6" s="16" t="n">
        <f aca="false">'Trial Balance'!C9</f>
        <v>93000</v>
      </c>
      <c r="C6" s="5" t="s">
        <v>99</v>
      </c>
      <c r="D6" s="16" t="n">
        <f aca="false">'Trial Balance'!D12</f>
        <v>142000</v>
      </c>
    </row>
    <row r="7" customFormat="false" ht="15" hidden="false" customHeight="false" outlineLevel="0" collapsed="false">
      <c r="A7" s="23"/>
      <c r="B7" s="23"/>
      <c r="C7" s="8" t="s">
        <v>100</v>
      </c>
      <c r="D7" s="18" t="n">
        <f aca="false">Adjustments!D6</f>
        <v>40000</v>
      </c>
    </row>
    <row r="8" customFormat="false" ht="15" hidden="false" customHeight="false" outlineLevel="0" collapsed="false">
      <c r="A8" s="24" t="s">
        <v>101</v>
      </c>
      <c r="B8" s="19" t="n">
        <f aca="false">IF(SUM(D6:D7)&gt;SUM(B6:B7),SUM(D6:D7)-SUM(B6:B7),0)</f>
        <v>89000</v>
      </c>
      <c r="C8" s="24" t="s">
        <v>102</v>
      </c>
      <c r="D8" s="19" t="n">
        <f aca="false">IF(SUM(B6:B7)&gt;SUM(D6:D7),SUM(B6:B7)-SUM(D6:D7),0)</f>
        <v>0</v>
      </c>
    </row>
    <row r="9" customFormat="false" ht="15" hidden="false" customHeight="false" outlineLevel="0" collapsed="false">
      <c r="A9" s="25" t="s">
        <v>66</v>
      </c>
      <c r="B9" s="19" t="n">
        <f aca="false">SUM(B6:B8)</f>
        <v>182000</v>
      </c>
      <c r="C9" s="25" t="s">
        <v>66</v>
      </c>
      <c r="D9" s="19" t="n">
        <f aca="false">SUM(D6:D8)</f>
        <v>182000</v>
      </c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103</v>
      </c>
      <c r="B2" s="2"/>
      <c r="C2" s="2"/>
      <c r="D2" s="2"/>
    </row>
    <row r="3" customFormat="false" ht="15" hidden="false" customHeight="false" outlineLevel="0" collapsed="false">
      <c r="A3" s="3" t="s">
        <v>94</v>
      </c>
      <c r="B3" s="3"/>
      <c r="C3" s="3"/>
      <c r="D3" s="3"/>
    </row>
    <row r="5" customFormat="false" ht="15" hidden="false" customHeight="false" outlineLevel="0" collapsed="false">
      <c r="A5" s="4" t="s">
        <v>95</v>
      </c>
      <c r="B5" s="4" t="s">
        <v>96</v>
      </c>
      <c r="C5" s="4" t="s">
        <v>95</v>
      </c>
      <c r="D5" s="4" t="s">
        <v>97</v>
      </c>
    </row>
    <row r="6" customFormat="false" ht="15" hidden="false" customHeight="false" outlineLevel="0" collapsed="false">
      <c r="C6" s="25" t="s">
        <v>104</v>
      </c>
      <c r="D6" s="26" t="n">
        <f aca="false">'Trading Account'!D8+'Trading Account'!B8</f>
        <v>89000</v>
      </c>
    </row>
    <row r="7" customFormat="false" ht="15" hidden="false" customHeight="false" outlineLevel="0" collapsed="false">
      <c r="A7" s="8" t="s">
        <v>105</v>
      </c>
      <c r="B7" s="18" t="n">
        <f aca="false">'Trial Balance'!C13</f>
        <v>5000</v>
      </c>
      <c r="C7" s="8" t="s">
        <v>106</v>
      </c>
      <c r="D7" s="18" t="n">
        <f aca="false">'Trial Balance'!D18</f>
        <v>500</v>
      </c>
    </row>
    <row r="8" customFormat="false" ht="15" hidden="false" customHeight="false" outlineLevel="0" collapsed="false">
      <c r="A8" s="5" t="s">
        <v>107</v>
      </c>
      <c r="B8" s="16" t="n">
        <f aca="false">'Trial Balance'!C14</f>
        <v>8000</v>
      </c>
      <c r="C8" s="5" t="s">
        <v>108</v>
      </c>
      <c r="D8" s="16" t="n">
        <f aca="false">Adjustments!D9</f>
        <v>500</v>
      </c>
    </row>
    <row r="9" customFormat="false" ht="15" hidden="false" customHeight="false" outlineLevel="0" collapsed="false">
      <c r="A9" s="8" t="s">
        <v>109</v>
      </c>
      <c r="B9" s="18" t="n">
        <f aca="false">'Trial Balance'!C17</f>
        <v>2000</v>
      </c>
      <c r="C9" s="23"/>
      <c r="D9" s="23"/>
    </row>
    <row r="10" customFormat="false" ht="15" hidden="false" customHeight="false" outlineLevel="0" collapsed="false">
      <c r="A10" s="5" t="s">
        <v>110</v>
      </c>
      <c r="B10" s="16" t="n">
        <f aca="false">'Trial Balance'!C19</f>
        <v>2000</v>
      </c>
      <c r="C10" s="27"/>
      <c r="D10" s="27"/>
    </row>
    <row r="11" customFormat="false" ht="15" hidden="false" customHeight="false" outlineLevel="0" collapsed="false">
      <c r="A11" s="8" t="s">
        <v>111</v>
      </c>
      <c r="B11" s="18" t="n">
        <f aca="false">'Trial Balance'!C21</f>
        <v>3000</v>
      </c>
      <c r="C11" s="23"/>
      <c r="D11" s="23"/>
    </row>
    <row r="12" customFormat="false" ht="15" hidden="false" customHeight="false" outlineLevel="0" collapsed="false">
      <c r="A12" s="5" t="s">
        <v>112</v>
      </c>
      <c r="B12" s="16" t="n">
        <f aca="false">'Trial Balance'!C23</f>
        <v>1500</v>
      </c>
      <c r="C12" s="27"/>
      <c r="D12" s="27"/>
    </row>
    <row r="13" customFormat="false" ht="15" hidden="false" customHeight="false" outlineLevel="0" collapsed="false">
      <c r="A13" s="8" t="s">
        <v>113</v>
      </c>
      <c r="B13" s="18" t="n">
        <f aca="false">Adjustments!D7</f>
        <v>1200</v>
      </c>
      <c r="C13" s="23"/>
      <c r="D13" s="23"/>
    </row>
    <row r="14" customFormat="false" ht="15" hidden="false" customHeight="false" outlineLevel="0" collapsed="false">
      <c r="A14" s="5" t="s">
        <v>114</v>
      </c>
      <c r="B14" s="16" t="n">
        <f aca="false">Adjustments!D8</f>
        <v>2000</v>
      </c>
      <c r="C14" s="27"/>
      <c r="D14" s="27"/>
    </row>
    <row r="15" customFormat="false" ht="15" hidden="false" customHeight="false" outlineLevel="0" collapsed="false">
      <c r="A15" s="24" t="s">
        <v>115</v>
      </c>
      <c r="B15" s="19" t="n">
        <f aca="false">IF(SUM(D6:D14)&gt;SUM(B6:B14),SUM(D6:D14)-SUM(B6:B14),0)</f>
        <v>65300</v>
      </c>
      <c r="C15" s="24" t="s">
        <v>116</v>
      </c>
      <c r="D15" s="19" t="n">
        <f aca="false">IF(SUM(B6:B14)&gt;SUM(D6:D14),SUM(B6:B14)-SUM(D6:D14),0)</f>
        <v>0</v>
      </c>
    </row>
    <row r="16" customFormat="false" ht="15" hidden="false" customHeight="false" outlineLevel="0" collapsed="false">
      <c r="A16" s="25" t="s">
        <v>66</v>
      </c>
      <c r="B16" s="19" t="n">
        <f aca="false">SUM(B6:B15)</f>
        <v>90000</v>
      </c>
      <c r="C16" s="25" t="s">
        <v>66</v>
      </c>
      <c r="D16" s="19" t="n">
        <f aca="false">SUM(D6:D15)</f>
        <v>90000</v>
      </c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7D46"/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117</v>
      </c>
      <c r="B2" s="2"/>
      <c r="C2" s="2"/>
      <c r="D2" s="2"/>
    </row>
    <row r="3" customFormat="false" ht="15" hidden="false" customHeight="false" outlineLevel="0" collapsed="false">
      <c r="A3" s="3" t="s">
        <v>118</v>
      </c>
      <c r="B3" s="3"/>
      <c r="C3" s="3"/>
      <c r="D3" s="3"/>
    </row>
    <row r="5" customFormat="false" ht="15" hidden="false" customHeight="false" outlineLevel="0" collapsed="false">
      <c r="A5" s="4" t="s">
        <v>119</v>
      </c>
      <c r="B5" s="4" t="s">
        <v>86</v>
      </c>
      <c r="C5" s="4" t="s">
        <v>120</v>
      </c>
      <c r="D5" s="4" t="s">
        <v>86</v>
      </c>
    </row>
    <row r="6" customFormat="false" ht="15" hidden="false" customHeight="false" outlineLevel="0" collapsed="false">
      <c r="A6" s="28" t="s">
        <v>121</v>
      </c>
      <c r="B6" s="29" t="n">
        <f aca="false">'Trial Balance'!D7-'Trial Balance'!C7</f>
        <v>200000</v>
      </c>
      <c r="C6" s="5" t="s">
        <v>36</v>
      </c>
      <c r="D6" s="16" t="n">
        <f aca="false">'Trial Balance'!C15-'Trial Balance'!D15</f>
        <v>12000</v>
      </c>
    </row>
    <row r="7" customFormat="false" ht="15" hidden="false" customHeight="false" outlineLevel="0" collapsed="false">
      <c r="A7" s="8" t="s">
        <v>122</v>
      </c>
      <c r="B7" s="18" t="n">
        <f aca="false">'Profit &amp; Loss Account'!B15</f>
        <v>65300</v>
      </c>
      <c r="C7" s="17" t="s">
        <v>123</v>
      </c>
      <c r="D7" s="18" t="n">
        <f aca="false">Adjustments!D7</f>
        <v>1200</v>
      </c>
    </row>
    <row r="8" customFormat="false" ht="15" hidden="false" customHeight="false" outlineLevel="0" collapsed="false">
      <c r="A8" s="5" t="s">
        <v>124</v>
      </c>
      <c r="B8" s="16" t="n">
        <f aca="false">'Profit &amp; Loss Account'!D15</f>
        <v>0</v>
      </c>
      <c r="C8" s="28" t="s">
        <v>125</v>
      </c>
      <c r="D8" s="30" t="n">
        <f aca="false">D6-D7</f>
        <v>10800</v>
      </c>
    </row>
    <row r="9" customFormat="false" ht="15" hidden="false" customHeight="false" outlineLevel="0" collapsed="false">
      <c r="A9" s="8" t="s">
        <v>126</v>
      </c>
      <c r="B9" s="18" t="n">
        <f aca="false">'Trial Balance'!C22-'Trial Balance'!D22</f>
        <v>5000</v>
      </c>
      <c r="C9" s="8" t="s">
        <v>127</v>
      </c>
      <c r="D9" s="18" t="n">
        <f aca="false">Adjustments!D6</f>
        <v>40000</v>
      </c>
    </row>
    <row r="10" customFormat="false" ht="15" hidden="false" customHeight="false" outlineLevel="0" collapsed="false">
      <c r="A10" s="28" t="s">
        <v>128</v>
      </c>
      <c r="B10" s="30" t="n">
        <f aca="false">B6+B7-B8-B9</f>
        <v>260300</v>
      </c>
      <c r="C10" s="5" t="s">
        <v>11</v>
      </c>
      <c r="D10" s="16" t="n">
        <f aca="false">'Trial Balance'!C6-'Trial Balance'!D6</f>
        <v>87500</v>
      </c>
    </row>
    <row r="11" customFormat="false" ht="15" hidden="false" customHeight="false" outlineLevel="0" collapsed="false">
      <c r="A11" s="8" t="s">
        <v>21</v>
      </c>
      <c r="B11" s="18" t="n">
        <f aca="false">'Trial Balance'!D10-'Trial Balance'!C10</f>
        <v>0</v>
      </c>
      <c r="C11" s="8" t="s">
        <v>15</v>
      </c>
      <c r="D11" s="18" t="n">
        <f aca="false">'Trial Balance'!C8-'Trial Balance'!D8</f>
        <v>76500</v>
      </c>
    </row>
    <row r="12" customFormat="false" ht="15" hidden="false" customHeight="false" outlineLevel="0" collapsed="false">
      <c r="A12" s="5" t="s">
        <v>64</v>
      </c>
      <c r="B12" s="16" t="n">
        <f aca="false">'Trial Balance'!D24-'Trial Balance'!C24</f>
        <v>18000</v>
      </c>
      <c r="C12" s="5" t="s">
        <v>24</v>
      </c>
      <c r="D12" s="16" t="n">
        <f aca="false">'Trial Balance'!C11-'Trial Balance'!D11</f>
        <v>0</v>
      </c>
    </row>
    <row r="13" customFormat="false" ht="15" hidden="false" customHeight="false" outlineLevel="0" collapsed="false">
      <c r="A13" s="8" t="s">
        <v>129</v>
      </c>
      <c r="B13" s="18" t="n">
        <f aca="false">Adjustments!D8</f>
        <v>2000</v>
      </c>
      <c r="C13" s="8" t="s">
        <v>39</v>
      </c>
      <c r="D13" s="18" t="n">
        <f aca="false">'Trial Balance'!C16-'Trial Balance'!D16</f>
        <v>30000</v>
      </c>
    </row>
    <row r="14" customFormat="false" ht="15" hidden="false" customHeight="false" outlineLevel="0" collapsed="false">
      <c r="A14" s="27"/>
      <c r="B14" s="27"/>
      <c r="C14" s="5" t="s">
        <v>52</v>
      </c>
      <c r="D14" s="16" t="n">
        <f aca="false">'Trial Balance'!C20-'Trial Balance'!D20</f>
        <v>35000</v>
      </c>
    </row>
    <row r="15" customFormat="false" ht="15" hidden="false" customHeight="false" outlineLevel="0" collapsed="false">
      <c r="A15" s="23"/>
      <c r="B15" s="23"/>
      <c r="C15" s="8" t="s">
        <v>130</v>
      </c>
      <c r="D15" s="18" t="n">
        <f aca="false">Adjustments!D9</f>
        <v>500</v>
      </c>
    </row>
    <row r="16" customFormat="false" ht="15" hidden="false" customHeight="false" outlineLevel="0" collapsed="false">
      <c r="A16" s="28" t="s">
        <v>66</v>
      </c>
      <c r="B16" s="19" t="n">
        <f aca="false">B10+B11+B12+B13</f>
        <v>280300</v>
      </c>
      <c r="C16" s="28" t="s">
        <v>66</v>
      </c>
      <c r="D16" s="19" t="n">
        <f aca="false">D8+D9+D10+D11+D12+D13+D14+D15</f>
        <v>280300</v>
      </c>
    </row>
    <row r="17" customFormat="false" ht="15" hidden="false" customHeight="false" outlineLevel="0" collapsed="false">
      <c r="A17" s="13" t="s">
        <v>131</v>
      </c>
      <c r="B17" s="14" t="n">
        <f aca="false">B16-D16</f>
        <v>0</v>
      </c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C8A84"/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2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31" t="s">
        <v>132</v>
      </c>
      <c r="B1" s="31"/>
      <c r="C1" s="31"/>
    </row>
    <row r="2" customFormat="false" ht="30" hidden="false" customHeight="true" outlineLevel="0" collapsed="false">
      <c r="A2" s="32" t="s">
        <v>133</v>
      </c>
      <c r="B2" s="32"/>
      <c r="C2" s="32"/>
    </row>
    <row r="4" customFormat="false" ht="15" hidden="false" customHeight="false" outlineLevel="0" collapsed="false">
      <c r="A4" s="4" t="s">
        <v>83</v>
      </c>
      <c r="B4" s="4" t="s">
        <v>134</v>
      </c>
      <c r="C4" s="4" t="s">
        <v>135</v>
      </c>
    </row>
    <row r="5" customFormat="false" ht="36" hidden="false" customHeight="true" outlineLevel="0" collapsed="false">
      <c r="A5" s="5" t="n">
        <v>1</v>
      </c>
      <c r="B5" s="33" t="s">
        <v>136</v>
      </c>
      <c r="C5" s="34" t="s">
        <v>137</v>
      </c>
    </row>
    <row r="6" customFormat="false" ht="36" hidden="false" customHeight="true" outlineLevel="0" collapsed="false">
      <c r="A6" s="8" t="n">
        <v>2</v>
      </c>
      <c r="B6" s="35" t="s">
        <v>138</v>
      </c>
      <c r="C6" s="36" t="s">
        <v>139</v>
      </c>
    </row>
    <row r="7" customFormat="false" ht="36" hidden="false" customHeight="true" outlineLevel="0" collapsed="false">
      <c r="A7" s="5" t="n">
        <v>3</v>
      </c>
      <c r="B7" s="33" t="s">
        <v>140</v>
      </c>
      <c r="C7" s="34" t="s">
        <v>141</v>
      </c>
    </row>
    <row r="8" customFormat="false" ht="36" hidden="false" customHeight="true" outlineLevel="0" collapsed="false">
      <c r="A8" s="8" t="n">
        <v>4</v>
      </c>
      <c r="B8" s="35" t="s">
        <v>142</v>
      </c>
      <c r="C8" s="36" t="s">
        <v>143</v>
      </c>
    </row>
    <row r="9" customFormat="false" ht="36" hidden="false" customHeight="true" outlineLevel="0" collapsed="false">
      <c r="A9" s="5" t="n">
        <v>5</v>
      </c>
      <c r="B9" s="33" t="s">
        <v>144</v>
      </c>
      <c r="C9" s="34" t="s">
        <v>145</v>
      </c>
    </row>
    <row r="10" customFormat="false" ht="36" hidden="false" customHeight="true" outlineLevel="0" collapsed="false">
      <c r="A10" s="8" t="n">
        <v>6</v>
      </c>
      <c r="B10" s="35" t="s">
        <v>146</v>
      </c>
      <c r="C10" s="36" t="s">
        <v>147</v>
      </c>
    </row>
    <row r="11" customFormat="false" ht="36" hidden="false" customHeight="true" outlineLevel="0" collapsed="false">
      <c r="A11" s="5" t="n">
        <v>7</v>
      </c>
      <c r="B11" s="33" t="s">
        <v>148</v>
      </c>
      <c r="C11" s="34" t="s">
        <v>149</v>
      </c>
    </row>
    <row r="12" customFormat="false" ht="36" hidden="false" customHeight="true" outlineLevel="0" collapsed="false">
      <c r="A12" s="8" t="n">
        <v>8</v>
      </c>
      <c r="B12" s="35" t="s">
        <v>150</v>
      </c>
      <c r="C12" s="36" t="s">
        <v>151</v>
      </c>
    </row>
    <row r="13" customFormat="false" ht="36" hidden="false" customHeight="true" outlineLevel="0" collapsed="false">
      <c r="A13" s="5" t="n">
        <v>9</v>
      </c>
      <c r="B13" s="33" t="s">
        <v>152</v>
      </c>
      <c r="C13" s="34" t="s">
        <v>153</v>
      </c>
    </row>
    <row r="14" customFormat="false" ht="36" hidden="false" customHeight="true" outlineLevel="0" collapsed="false">
      <c r="A14" s="8" t="n">
        <v>10</v>
      </c>
      <c r="B14" s="35" t="s">
        <v>154</v>
      </c>
      <c r="C14" s="36" t="s">
        <v>155</v>
      </c>
    </row>
    <row r="16" customFormat="false" ht="15" hidden="false" customHeight="false" outlineLevel="0" collapsed="false">
      <c r="A16" s="37" t="s">
        <v>156</v>
      </c>
      <c r="B16" s="37"/>
      <c r="C16" s="37"/>
    </row>
    <row r="17" customFormat="false" ht="30" hidden="false" customHeight="true" outlineLevel="0" collapsed="false">
      <c r="A17" s="28" t="s">
        <v>157</v>
      </c>
      <c r="B17" s="33" t="s">
        <v>158</v>
      </c>
      <c r="C17" s="33"/>
    </row>
    <row r="18" customFormat="false" ht="30" hidden="false" customHeight="true" outlineLevel="0" collapsed="false">
      <c r="A18" s="28" t="s">
        <v>159</v>
      </c>
      <c r="B18" s="33" t="s">
        <v>160</v>
      </c>
      <c r="C18" s="33"/>
    </row>
    <row r="19" customFormat="false" ht="30" hidden="false" customHeight="true" outlineLevel="0" collapsed="false">
      <c r="A19" s="28" t="s">
        <v>161</v>
      </c>
      <c r="B19" s="33" t="s">
        <v>162</v>
      </c>
      <c r="C19" s="33"/>
    </row>
    <row r="20" customFormat="false" ht="30" hidden="false" customHeight="true" outlineLevel="0" collapsed="false">
      <c r="A20" s="28" t="s">
        <v>163</v>
      </c>
      <c r="B20" s="33" t="s">
        <v>164</v>
      </c>
      <c r="C20" s="33"/>
    </row>
  </sheetData>
  <mergeCells count="7">
    <mergeCell ref="A1:C1"/>
    <mergeCell ref="A2:C2"/>
    <mergeCell ref="A16:C16"/>
    <mergeCell ref="B17:C17"/>
    <mergeCell ref="B18:C18"/>
    <mergeCell ref="B19:C19"/>
    <mergeCell ref="B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2026-09-10T07:37:02Z</dcterms:created>
  <dc:creator>Z.ai</dc:creator>
  <dc:description/>
  <dc:language>en-US</dc:language>
  <cp:lastModifiedBy/>
  <dcterms:modified xsi:type="dcterms:W3CDTF">2026-09-10T07:37:02Z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